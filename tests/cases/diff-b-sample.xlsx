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Acme Robotics — FY2027 Budget</t>
        </is>
      </c>
    </row>
    <row r="3">
      <c r="A3" t="inlineStr">
        <is>
          <t>Category</t>
        </is>
      </c>
      <c r="B3" t="inlineStr">
        <is>
          <t>Q1</t>
        </is>
      </c>
      <c r="C3" t="inlineStr">
        <is>
          <t>Q2</t>
        </is>
      </c>
      <c r="D3" t="inlineStr">
        <is>
          <t>Q3</t>
        </is>
      </c>
      <c r="E3" t="inlineStr">
        <is>
          <t>Q4</t>
        </is>
      </c>
      <c r="F3" t="inlineStr">
        <is>
          <t>Total</t>
        </is>
      </c>
      <c r="G3" t="inlineStr">
        <is>
          <t>Share of total</t>
        </is>
      </c>
    </row>
    <row r="4">
      <c r="A4" t="inlineStr">
        <is>
          <t>Salaries &amp; benefits</t>
        </is>
      </c>
      <c r="B4">
        <v>412000</v>
      </c>
      <c r="C4">
        <v>418000</v>
      </c>
      <c r="D4">
        <v>425000</v>
      </c>
      <c r="E4">
        <v>431000</v>
      </c>
      <c r="F4">
        <f>SUM(B4:E4)</f>
        <v>1686000.0</v>
      </c>
      <c r="G4">
        <f>F4/$F$16</f>
        <v>0.5715447981287501</v>
      </c>
    </row>
    <row r="5">
      <c r="A5" t="inlineStr">
        <is>
          <t>Cloud &amp; infrastructure</t>
        </is>
      </c>
      <c r="B5">
        <v>58200</v>
      </c>
      <c r="C5">
        <v>61500</v>
      </c>
      <c r="D5">
        <v>64800</v>
      </c>
      <c r="E5">
        <v>70300</v>
      </c>
      <c r="F5">
        <f>SUM(B5:E5)</f>
        <v>254800.0</v>
      </c>
      <c r="G5">
        <f>F5/$F$16</f>
        <v>0.08637580934946948</v>
      </c>
    </row>
    <row r="6">
      <c r="A6" t="inlineStr">
        <is>
          <t>Hardware prototyping</t>
        </is>
      </c>
      <c r="B6">
        <v>91000</v>
      </c>
      <c r="C6">
        <v>74500</v>
      </c>
      <c r="D6">
        <v>88000</v>
      </c>
      <c r="E6">
        <v>102500</v>
      </c>
      <c r="F6">
        <f>SUM(B6:E6)</f>
        <v>356000.0</v>
      </c>
      <c r="G6">
        <f>F6/$F$16</f>
        <v>0.120682057018882</v>
      </c>
    </row>
    <row r="7">
      <c r="A7" t="inlineStr">
        <is>
          <t>Office &amp; facilities</t>
        </is>
      </c>
      <c r="B7">
        <v>23800</v>
      </c>
      <c r="C7">
        <v>23800</v>
      </c>
      <c r="D7">
        <v>24600</v>
      </c>
      <c r="E7">
        <v>24600</v>
      </c>
      <c r="F7">
        <f>SUM(B7:E7)</f>
        <v>96800.0</v>
      </c>
      <c r="G7">
        <f>F8/$F$16</f>
        <v>0.02179734906268009</v>
      </c>
    </row>
    <row r="8">
      <c r="A8" t="inlineStr">
        <is>
          <t>Travel</t>
        </is>
      </c>
      <c r="B8">
        <v>14200</v>
      </c>
      <c r="C8">
        <v>18900</v>
      </c>
      <c r="D8">
        <v>9800</v>
      </c>
      <c r="E8">
        <v>21400</v>
      </c>
      <c r="F8">
        <f>SUM(B8:E8)</f>
        <v>64300.0</v>
      </c>
      <c r="G8">
        <f>F8/$F$16</f>
        <v>0.02179734906268009</v>
      </c>
    </row>
    <row r="9">
      <c r="A9" t="inlineStr">
        <is>
          <t>Marketing &amp; events</t>
        </is>
      </c>
      <c r="B9">
        <v>37500</v>
      </c>
      <c r="C9">
        <v>52000</v>
      </c>
      <c r="D9">
        <v>41000</v>
      </c>
      <c r="E9">
        <v>66500</v>
      </c>
      <c r="F9">
        <f>SUM(B9:D9)</f>
        <v>130500.0</v>
      </c>
      <c r="G9">
        <f>F9/$F$16</f>
        <v>0.04423878775551714</v>
      </c>
    </row>
    <row r="10">
      <c r="A10" t="inlineStr">
        <is>
          <t>Legal &amp; accounting</t>
        </is>
      </c>
      <c r="B10">
        <v>12800</v>
      </c>
      <c r="C10">
        <v>9200</v>
      </c>
      <c r="D10">
        <v>9200</v>
      </c>
      <c r="E10">
        <v>15600</v>
      </c>
      <c r="F10">
        <f>SUM(B10:E10)</f>
        <v>46800.0</v>
      </c>
      <c r="G10">
        <f>F10/$F$16</f>
        <v>0.015864944574392352</v>
      </c>
    </row>
    <row r="11">
      <c r="A11" t="inlineStr">
        <is>
          <t>Insurance</t>
        </is>
      </c>
      <c r="B11">
        <v>8400</v>
      </c>
      <c r="C11">
        <v>8400</v>
      </c>
      <c r="D11">
        <v>8400</v>
      </c>
      <c r="E11">
        <v>8400</v>
      </c>
      <c r="F11">
        <f>SUM(B11:E11)</f>
        <v>33600.0</v>
      </c>
      <c r="G11">
        <f>F11/$F$16</f>
        <v>0.011390216617512458</v>
      </c>
    </row>
    <row r="12">
      <c r="A12" t="inlineStr">
        <is>
          <t>Recruiting</t>
        </is>
      </c>
      <c r="B12">
        <v>19500</v>
      </c>
      <c r="C12">
        <v>26000</v>
      </c>
      <c r="D12">
        <v>22500</v>
      </c>
      <c r="E12">
        <v>12000</v>
      </c>
      <c r="F12">
        <f>SUM(B12:E12)</f>
        <v>80000.0</v>
      </c>
      <c r="G12">
        <f>F12/$F$16</f>
        <v>0.027119563375029663</v>
      </c>
    </row>
    <row r="13">
      <c r="A13" t="inlineStr">
        <is>
          <t>Software licenses</t>
        </is>
      </c>
      <c r="B13">
        <v>16700</v>
      </c>
      <c r="C13">
        <v>16700</v>
      </c>
      <c r="D13">
        <v>17900</v>
      </c>
      <c r="E13">
        <v>17900</v>
      </c>
      <c r="F13">
        <f>SUM(B13:E13)</f>
        <v>69200.0</v>
      </c>
      <c r="G13">
        <f>F13/$F$16</f>
        <v>0.02345842231940066</v>
      </c>
    </row>
    <row r="14">
      <c r="A14" t="inlineStr">
        <is>
          <t>Training &amp; conferences</t>
        </is>
      </c>
      <c r="B14">
        <v>6300</v>
      </c>
      <c r="C14">
        <v>11800</v>
      </c>
      <c r="D14">
        <v>4200</v>
      </c>
      <c r="E14">
        <v>9600</v>
      </c>
      <c r="F14">
        <f>SUM(B14:E14)</f>
        <v>31900.0</v>
      </c>
      <c r="G14">
        <f>F14/$F$16</f>
        <v>0.010813925895793077</v>
      </c>
    </row>
    <row r="15">
      <c r="A15" t="inlineStr">
        <is>
          <t>Contingency</t>
        </is>
      </c>
      <c r="B15">
        <v>40000</v>
      </c>
      <c r="C15">
        <v>40000</v>
      </c>
      <c r="D15">
        <v>40000</v>
      </c>
      <c r="E15">
        <v>40000</v>
      </c>
      <c r="F15">
        <f>SUM(B15:E15)</f>
        <v>160000.0</v>
      </c>
      <c r="G15">
        <f>F15/$F$16</f>
        <v>0.033899454218787074</v>
      </c>
    </row>
    <row r="16">
      <c r="A16" t="inlineStr">
        <is>
          <t>Total</t>
        </is>
      </c>
      <c r="B16">
        <f>SUM(B4:B15)</f>
        <v>725400.0</v>
      </c>
      <c r="C16">
        <f>SUM(C4:C15)</f>
        <v>745800.0</v>
      </c>
      <c r="D16">
        <f>SUM(D4:D15)</f>
        <v>740400.0</v>
      </c>
      <c r="E16">
        <f>SUM(E4:E15)</f>
        <v>804800.0</v>
      </c>
      <c r="F16">
        <f>SUM(F4:F15)</f>
        <v>2949900.0</v>
      </c>
    </row>
  </sheetData>
</worksheet>
</file>